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\Documents\Finanzas Hogar\CONTABILIDAD HOGAR\"/>
    </mc:Choice>
  </mc:AlternateContent>
  <xr:revisionPtr revIDLastSave="0" documentId="13_ncr:1_{6F83D72B-B4AA-4047-A902-85878F0D920F}" xr6:coauthVersionLast="47" xr6:coauthVersionMax="47" xr10:uidLastSave="{00000000-0000-0000-0000-000000000000}"/>
  <bookViews>
    <workbookView xWindow="-20610" yWindow="-120" windowWidth="20730" windowHeight="11040" firstSheet="7" activeTab="11" xr2:uid="{00000000-000D-0000-FFFF-FFFF00000000}"/>
  </bookViews>
  <sheets>
    <sheet name="Enero" sheetId="10" r:id="rId1"/>
    <sheet name="Febrero" sheetId="11" r:id="rId2"/>
    <sheet name="Marzo" sheetId="12" r:id="rId3"/>
    <sheet name="Abril" sheetId="1" r:id="rId4"/>
    <sheet name="Mayo" sheetId="2" r:id="rId5"/>
    <sheet name="Junio" sheetId="3" r:id="rId6"/>
    <sheet name="Julio" sheetId="4" r:id="rId7"/>
    <sheet name="Agosto" sheetId="5" r:id="rId8"/>
    <sheet name="Septiembre" sheetId="6" r:id="rId9"/>
    <sheet name="Octubre" sheetId="7" r:id="rId10"/>
    <sheet name="Noviembre" sheetId="8" r:id="rId11"/>
    <sheet name="Diciembre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2" l="1"/>
  <c r="G2" i="12" s="1"/>
  <c r="D2" i="12"/>
  <c r="E2" i="12" s="1"/>
  <c r="F2" i="11"/>
  <c r="G2" i="11" s="1"/>
  <c r="D2" i="11"/>
  <c r="E2" i="11" s="1"/>
  <c r="F2" i="10"/>
  <c r="G2" i="10" s="1"/>
  <c r="D2" i="10"/>
  <c r="E2" i="10" s="1"/>
  <c r="F2" i="7"/>
  <c r="G2" i="7" s="1"/>
  <c r="E2" i="7"/>
  <c r="D2" i="7"/>
  <c r="F2" i="9"/>
  <c r="G2" i="9" s="1"/>
  <c r="D2" i="9"/>
  <c r="E2" i="9" s="1"/>
  <c r="F2" i="8"/>
  <c r="G2" i="8" s="1"/>
  <c r="D2" i="8"/>
  <c r="E2" i="8" s="1"/>
  <c r="F2" i="6"/>
  <c r="G2" i="6" s="1"/>
  <c r="D2" i="6"/>
  <c r="E2" i="6" s="1"/>
  <c r="F2" i="5"/>
  <c r="G2" i="5" s="1"/>
  <c r="D2" i="5"/>
  <c r="E2" i="5" s="1"/>
  <c r="F2" i="4"/>
  <c r="G2" i="4" s="1"/>
  <c r="D2" i="4"/>
  <c r="E2" i="4" s="1"/>
  <c r="F2" i="3"/>
  <c r="G2" i="3" s="1"/>
  <c r="D2" i="3"/>
  <c r="E2" i="3" s="1"/>
  <c r="F2" i="2"/>
  <c r="G2" i="2" s="1"/>
  <c r="D2" i="2"/>
  <c r="E2" i="2" s="1"/>
  <c r="F2" i="1"/>
  <c r="G2" i="1" s="1"/>
  <c r="D2" i="1"/>
  <c r="E2" i="1" s="1"/>
</calcChain>
</file>

<file path=xl/sharedStrings.xml><?xml version="1.0" encoding="utf-8"?>
<sst xmlns="http://schemas.openxmlformats.org/spreadsheetml/2006/main" count="265" uniqueCount="34">
  <si>
    <t>Mes</t>
  </si>
  <si>
    <t xml:space="preserve">Descricion </t>
  </si>
  <si>
    <t>Ingresos</t>
  </si>
  <si>
    <t>Presupuesto contemplado</t>
  </si>
  <si>
    <t>Restante</t>
  </si>
  <si>
    <t>Gasto Real</t>
  </si>
  <si>
    <t>Restante Real</t>
  </si>
  <si>
    <t>Abril</t>
  </si>
  <si>
    <t>Balance Casa</t>
  </si>
  <si>
    <t>Agua</t>
  </si>
  <si>
    <t>Gas</t>
  </si>
  <si>
    <t>Luz</t>
  </si>
  <si>
    <t xml:space="preserve">Administracion </t>
  </si>
  <si>
    <t>cuota de credito</t>
  </si>
  <si>
    <t xml:space="preserve">internet </t>
  </si>
  <si>
    <t xml:space="preserve">Neflix </t>
  </si>
  <si>
    <t>gatos</t>
  </si>
  <si>
    <t>spotify</t>
  </si>
  <si>
    <t xml:space="preserve">cuota Apartamento </t>
  </si>
  <si>
    <t>Mercado</t>
  </si>
  <si>
    <t xml:space="preserve">impuesto </t>
  </si>
  <si>
    <t>otros</t>
  </si>
  <si>
    <t>Mayo</t>
  </si>
  <si>
    <t>Junio</t>
  </si>
  <si>
    <t>Julio</t>
  </si>
  <si>
    <t>Agosto</t>
  </si>
  <si>
    <t>Septiembre</t>
  </si>
  <si>
    <t>Descripcion</t>
  </si>
  <si>
    <t>Octubre</t>
  </si>
  <si>
    <t xml:space="preserve">Noviembre </t>
  </si>
  <si>
    <t>Diciembre</t>
  </si>
  <si>
    <t>Enero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</si>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</sst>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_-;\-[$$-240A]\ * #,##0_-;_-[$$-240A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164" fontId="0" fillId="3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3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4668-BFC8-4178-BE63-3BC0136486A8}">
  <dimension ref="A1:G15"/>
  <sheetViews>
    <sheetView workbookViewId="0">
      <selection sqref="A1:G15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31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0FC8-AC74-41B3-983F-33E755DD0A5D}">
  <dimension ref="A1:G15"/>
  <sheetViews>
    <sheetView workbookViewId="0">
      <selection sqref="A1:XFD1048576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32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E476-D7A9-4940-9AC8-67A34FD9895A}">
  <dimension ref="A1:G15"/>
  <sheetViews>
    <sheetView workbookViewId="0">
      <selection activeCell="H7" sqref="H7"/>
    </sheetView>
  </sheetViews>
  <sheetFormatPr baseColWidth="10" defaultRowHeight="15" x14ac:dyDescent="0.25"/>
  <cols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33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5"/>
  <sheetViews>
    <sheetView workbookViewId="0">
      <selection sqref="A1:G15"/>
    </sheetView>
  </sheetViews>
  <sheetFormatPr baseColWidth="10" defaultRowHeight="15" x14ac:dyDescent="0.25"/>
  <cols>
    <col min="1" max="1" width="5.140625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15"/>
  <sheetViews>
    <sheetView workbookViewId="0">
      <selection sqref="A1:XFD1048576"/>
    </sheetView>
  </sheetViews>
  <sheetFormatPr baseColWidth="10" defaultRowHeight="15" x14ac:dyDescent="0.25"/>
  <cols>
    <col min="1" max="1" width="5.140625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22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15"/>
  <sheetViews>
    <sheetView zoomScaleNormal="100" workbookViewId="0">
      <selection sqref="A1:XFD1048576"/>
    </sheetView>
  </sheetViews>
  <sheetFormatPr baseColWidth="10" defaultRowHeight="15" x14ac:dyDescent="0.25"/>
  <cols>
    <col min="1" max="1" width="5.140625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23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15"/>
  <sheetViews>
    <sheetView workbookViewId="0">
      <selection sqref="A1:XFD1048576"/>
    </sheetView>
  </sheetViews>
  <sheetFormatPr baseColWidth="10" defaultRowHeight="15" x14ac:dyDescent="0.25"/>
  <cols>
    <col min="1" max="1" width="5.140625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24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15"/>
  <sheetViews>
    <sheetView zoomScaleNormal="100" workbookViewId="0">
      <selection sqref="A1:XFD1048576"/>
    </sheetView>
  </sheetViews>
  <sheetFormatPr baseColWidth="10" defaultRowHeight="15" x14ac:dyDescent="0.25"/>
  <cols>
    <col min="1" max="1" width="7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25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G15"/>
  <sheetViews>
    <sheetView workbookViewId="0">
      <selection activeCell="A2" sqref="A2:G2"/>
    </sheetView>
  </sheetViews>
  <sheetFormatPr baseColWidth="10" defaultRowHeight="15" x14ac:dyDescent="0.25"/>
  <cols>
    <col min="1" max="1" width="10.85546875" bestFit="1" customWidth="1"/>
    <col min="2" max="2" width="18.42578125" bestFit="1" customWidth="1"/>
    <col min="3" max="3" width="12" style="9" bestFit="1" customWidth="1"/>
    <col min="4" max="4" width="25" bestFit="1" customWidth="1"/>
    <col min="5" max="5" width="10.42578125" bestFit="1" customWidth="1"/>
    <col min="6" max="6" width="10.7109375" bestFit="1" customWidth="1"/>
    <col min="7" max="7" width="1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26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H11" sqref="H11"/>
    </sheetView>
  </sheetViews>
  <sheetFormatPr baseColWidth="10" defaultColWidth="9.140625" defaultRowHeight="15" x14ac:dyDescent="0.25"/>
  <cols>
    <col min="2" max="2" width="18.42578125" bestFit="1" customWidth="1"/>
    <col min="3" max="3" width="12" bestFit="1" customWidth="1"/>
    <col min="4" max="4" width="24.42578125" bestFit="1" customWidth="1"/>
    <col min="5" max="5" width="10.42578125" bestFit="1" customWidth="1"/>
    <col min="6" max="6" width="12" bestFit="1" customWidth="1"/>
    <col min="7" max="7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8" x14ac:dyDescent="0.25">
      <c r="A2" s="2" t="s">
        <v>28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SUM(F3:F15)</f>
        <v>3200210</v>
      </c>
      <c r="G2" s="4">
        <f>C2-F2</f>
        <v>-210</v>
      </c>
    </row>
    <row r="3" spans="1:8" x14ac:dyDescent="0.25">
      <c r="B3" t="s">
        <v>9</v>
      </c>
      <c r="D3">
        <v>90000</v>
      </c>
    </row>
    <row r="4" spans="1:8" x14ac:dyDescent="0.25">
      <c r="B4" t="s">
        <v>10</v>
      </c>
      <c r="D4">
        <v>30000</v>
      </c>
      <c r="F4">
        <v>23000</v>
      </c>
    </row>
    <row r="5" spans="1:8" x14ac:dyDescent="0.25">
      <c r="B5" t="s">
        <v>11</v>
      </c>
      <c r="D5">
        <v>160000</v>
      </c>
      <c r="F5">
        <v>79030</v>
      </c>
    </row>
    <row r="6" spans="1:8" x14ac:dyDescent="0.25">
      <c r="B6" t="s">
        <v>12</v>
      </c>
      <c r="D6">
        <v>220000</v>
      </c>
      <c r="F6">
        <v>208100</v>
      </c>
    </row>
    <row r="7" spans="1:8" x14ac:dyDescent="0.25">
      <c r="B7" t="s">
        <v>13</v>
      </c>
      <c r="D7">
        <v>350000</v>
      </c>
      <c r="F7">
        <v>350000</v>
      </c>
    </row>
    <row r="8" spans="1:8" x14ac:dyDescent="0.25">
      <c r="B8" t="s">
        <v>14</v>
      </c>
      <c r="D8">
        <v>112000</v>
      </c>
      <c r="F8">
        <v>182584</v>
      </c>
    </row>
    <row r="9" spans="1:8" x14ac:dyDescent="0.25">
      <c r="B9" t="s">
        <v>15</v>
      </c>
      <c r="D9">
        <v>30000</v>
      </c>
      <c r="F9">
        <v>29900</v>
      </c>
    </row>
    <row r="10" spans="1:8" x14ac:dyDescent="0.25">
      <c r="B10" t="s">
        <v>16</v>
      </c>
      <c r="D10">
        <v>170000</v>
      </c>
      <c r="F10">
        <v>150000</v>
      </c>
    </row>
    <row r="11" spans="1:8" x14ac:dyDescent="0.25">
      <c r="B11" t="s">
        <v>17</v>
      </c>
      <c r="D11">
        <v>12000</v>
      </c>
      <c r="F11">
        <v>10000</v>
      </c>
    </row>
    <row r="12" spans="1:8" x14ac:dyDescent="0.25">
      <c r="B12" t="s">
        <v>18</v>
      </c>
      <c r="D12">
        <v>990000</v>
      </c>
      <c r="F12">
        <v>958000</v>
      </c>
    </row>
    <row r="13" spans="1:8" x14ac:dyDescent="0.25">
      <c r="B13" t="s">
        <v>19</v>
      </c>
      <c r="D13">
        <v>1182500</v>
      </c>
      <c r="F13">
        <v>1182596</v>
      </c>
    </row>
    <row r="14" spans="1:8" x14ac:dyDescent="0.25">
      <c r="B14" t="s">
        <v>20</v>
      </c>
      <c r="D14">
        <v>0</v>
      </c>
      <c r="F14">
        <v>27000</v>
      </c>
    </row>
    <row r="15" spans="1:8" x14ac:dyDescent="0.25">
      <c r="B15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G15"/>
  <sheetViews>
    <sheetView workbookViewId="0">
      <selection activeCell="B1" sqref="B1"/>
    </sheetView>
  </sheetViews>
  <sheetFormatPr baseColWidth="10" defaultRowHeight="15" x14ac:dyDescent="0.25"/>
  <cols>
    <col min="3" max="3" width="14.7109375" customWidth="1"/>
    <col min="4" max="4" width="13.42578125" customWidth="1"/>
    <col min="6" max="6" width="14.28515625" customWidth="1"/>
    <col min="7" max="7" width="1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29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G15"/>
  <sheetViews>
    <sheetView tabSelected="1" workbookViewId="0">
      <selection activeCell="I13" sqref="I13"/>
    </sheetView>
  </sheetViews>
  <sheetFormatPr baseColWidth="10" defaultRowHeight="15" x14ac:dyDescent="0.25"/>
  <cols>
    <col min="3" max="3" width="14.7109375" customWidth="1"/>
    <col min="4" max="4" width="13.42578125" customWidth="1"/>
    <col min="6" max="6" width="14.28515625" customWidth="1"/>
    <col min="7" max="7" width="1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30</v>
      </c>
      <c r="B2" s="3" t="s">
        <v>8</v>
      </c>
      <c r="C2" s="4">
        <v>3200000</v>
      </c>
      <c r="D2" s="7">
        <f>SUM(D3:D15)</f>
        <v>3346500</v>
      </c>
      <c r="E2" s="4">
        <f>C2-D2</f>
        <v>-146500</v>
      </c>
      <c r="F2" s="4">
        <f>SUM(F3:F14)</f>
        <v>0</v>
      </c>
      <c r="G2" s="4">
        <f>C2-F2</f>
        <v>3200000</v>
      </c>
    </row>
    <row r="3" spans="1:7" x14ac:dyDescent="0.25">
      <c r="B3" s="5" t="s">
        <v>9</v>
      </c>
      <c r="C3" s="6"/>
      <c r="D3" s="8">
        <v>90000</v>
      </c>
      <c r="E3" s="6"/>
      <c r="F3" s="6"/>
      <c r="G3" s="6"/>
    </row>
    <row r="4" spans="1:7" x14ac:dyDescent="0.25">
      <c r="B4" s="5" t="s">
        <v>10</v>
      </c>
      <c r="C4" s="6"/>
      <c r="D4" s="8">
        <v>30000</v>
      </c>
      <c r="E4" s="6"/>
      <c r="F4" s="6"/>
      <c r="G4" s="6"/>
    </row>
    <row r="5" spans="1:7" x14ac:dyDescent="0.25">
      <c r="B5" s="5" t="s">
        <v>11</v>
      </c>
      <c r="C5" s="6"/>
      <c r="D5" s="8">
        <v>160000</v>
      </c>
      <c r="E5" s="6"/>
      <c r="F5" s="6"/>
      <c r="G5" s="6"/>
    </row>
    <row r="6" spans="1:7" x14ac:dyDescent="0.25">
      <c r="B6" s="5" t="s">
        <v>12</v>
      </c>
      <c r="C6" s="6"/>
      <c r="D6" s="8">
        <v>220000</v>
      </c>
      <c r="E6" s="6"/>
      <c r="F6" s="6"/>
      <c r="G6" s="6"/>
    </row>
    <row r="7" spans="1:7" x14ac:dyDescent="0.25">
      <c r="B7" s="5" t="s">
        <v>13</v>
      </c>
      <c r="C7" s="6"/>
      <c r="D7" s="8">
        <v>350000</v>
      </c>
      <c r="E7" s="6"/>
      <c r="F7" s="6"/>
      <c r="G7" s="6"/>
    </row>
    <row r="8" spans="1:7" x14ac:dyDescent="0.25">
      <c r="B8" s="5" t="s">
        <v>14</v>
      </c>
      <c r="C8" s="6"/>
      <c r="D8" s="8">
        <v>112000</v>
      </c>
      <c r="E8" s="6"/>
      <c r="F8" s="6"/>
      <c r="G8" s="6"/>
    </row>
    <row r="9" spans="1:7" x14ac:dyDescent="0.25">
      <c r="B9" s="5" t="s">
        <v>15</v>
      </c>
      <c r="C9" s="6"/>
      <c r="D9" s="8">
        <v>30000</v>
      </c>
      <c r="E9" s="6"/>
      <c r="F9" s="6"/>
      <c r="G9" s="6"/>
    </row>
    <row r="10" spans="1:7" x14ac:dyDescent="0.25">
      <c r="B10" s="5" t="s">
        <v>16</v>
      </c>
      <c r="C10" s="6"/>
      <c r="D10" s="8">
        <v>170000</v>
      </c>
      <c r="E10" s="6"/>
      <c r="F10" s="6"/>
      <c r="G10" s="6"/>
    </row>
    <row r="11" spans="1:7" x14ac:dyDescent="0.25">
      <c r="B11" s="5" t="s">
        <v>17</v>
      </c>
      <c r="C11" s="6"/>
      <c r="D11" s="8">
        <v>12000</v>
      </c>
      <c r="E11" s="6"/>
      <c r="F11" s="6"/>
      <c r="G11" s="6"/>
    </row>
    <row r="12" spans="1:7" x14ac:dyDescent="0.25">
      <c r="B12" s="5" t="s">
        <v>18</v>
      </c>
      <c r="C12" s="6"/>
      <c r="D12" s="8">
        <v>990000</v>
      </c>
      <c r="E12" s="6"/>
      <c r="F12" s="6"/>
      <c r="G12" s="6"/>
    </row>
    <row r="13" spans="1:7" x14ac:dyDescent="0.25">
      <c r="B13" s="5" t="s">
        <v>19</v>
      </c>
      <c r="C13" s="6"/>
      <c r="D13" s="8">
        <v>1182500</v>
      </c>
      <c r="E13" s="6"/>
      <c r="F13" s="6"/>
      <c r="G13" s="6"/>
    </row>
    <row r="14" spans="1:7" x14ac:dyDescent="0.25">
      <c r="B14" s="5" t="s">
        <v>20</v>
      </c>
      <c r="C14" s="6"/>
      <c r="D14" s="8">
        <v>0</v>
      </c>
      <c r="E14" s="6"/>
      <c r="F14" s="6"/>
      <c r="G14" s="6"/>
    </row>
    <row r="15" spans="1:7" x14ac:dyDescent="0.25">
      <c r="B15" s="5" t="s">
        <v>21</v>
      </c>
      <c r="C15" s="6"/>
      <c r="D15" s="8"/>
      <c r="E15" s="6"/>
      <c r="F15" s="6"/>
      <c r="G15" s="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Alexandra Baez Landeros</dc:creator>
  <cp:lastModifiedBy>Ruth Alexandra Baez Landeros</cp:lastModifiedBy>
  <dcterms:created xsi:type="dcterms:W3CDTF">2025-04-22T22:58:45Z</dcterms:created>
  <dcterms:modified xsi:type="dcterms:W3CDTF">2026-10-23T00:42:46Z</dcterms:modified>
</cp:coreProperties>
</file>